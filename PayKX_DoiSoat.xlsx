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GiaoDich" sheetId="1" state="visible" r:id="rId1"/>
    <sheet name="NguoiDung" sheetId="2" state="visible" r:id="rId2"/>
    <sheet name="DoanhThu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<sst xmlns="http://schemas.openxmlformats.org/spreadsheetml/2006/main" count="128" uniqueCount="128">
  <si>
    <t>Ma_GD</t>
  </si>
  <si>
    <t>Ngay_GD</t>
  </si>
  <si>
    <t>Loai_GD</t>
  </si>
  <si>
    <t>Ngan_Hang</t>
  </si>
  <si>
    <t>So_Tien</t>
  </si>
  <si>
    <t>Phi_NH</t>
  </si>
  <si>
    <t>Ma_GD_Sach</t>
  </si>
  <si>
    <t>Ten_NguoiDung</t>
  </si>
  <si>
    <t>GD001</t>
  </si>
  <si>
    <t xml:space="preserve">Nạp điện thoại</t>
  </si>
  <si>
    <t>Vietcombank</t>
  </si>
  <si>
    <t>GD002</t>
  </si>
  <si>
    <t xml:space="preserve">Hoàn tiền</t>
  </si>
  <si>
    <t>BIDV</t>
  </si>
  <si>
    <t xml:space="preserve">GD003 </t>
  </si>
  <si>
    <t xml:space="preserve">Nạp ví</t>
  </si>
  <si>
    <t>ACB</t>
  </si>
  <si>
    <t>GD004</t>
  </si>
  <si>
    <t xml:space="preserve">Rút tiền</t>
  </si>
  <si>
    <t>Techcombank</t>
  </si>
  <si>
    <t>GD005</t>
  </si>
  <si>
    <t>GD006</t>
  </si>
  <si>
    <t xml:space="preserve">Thanh toán</t>
  </si>
  <si>
    <t xml:space="preserve">MB Bank</t>
  </si>
  <si>
    <t>GD007</t>
  </si>
  <si>
    <t xml:space="preserve"> GD008</t>
  </si>
  <si>
    <t>GD009</t>
  </si>
  <si>
    <t>GD010</t>
  </si>
  <si>
    <t xml:space="preserve">GD011  </t>
  </si>
  <si>
    <t>GD012</t>
  </si>
  <si>
    <t>GD013</t>
  </si>
  <si>
    <t>GD014</t>
  </si>
  <si>
    <t>GD015</t>
  </si>
  <si>
    <t>GD016</t>
  </si>
  <si>
    <t xml:space="preserve">  GD017</t>
  </si>
  <si>
    <t>GD018</t>
  </si>
  <si>
    <t>GD019</t>
  </si>
  <si>
    <t>GD020</t>
  </si>
  <si>
    <t xml:space="preserve">GD021 </t>
  </si>
  <si>
    <t>GD022</t>
  </si>
  <si>
    <t>GD023</t>
  </si>
  <si>
    <t>GD024</t>
  </si>
  <si>
    <t xml:space="preserve"> GD025 </t>
  </si>
  <si>
    <t>GD026</t>
  </si>
  <si>
    <t>GD027</t>
  </si>
  <si>
    <t>GD028</t>
  </si>
  <si>
    <t>GD029</t>
  </si>
  <si>
    <t>GD030</t>
  </si>
  <si>
    <t>MSSV</t>
  </si>
  <si>
    <t>Ten_Tra_Cuu</t>
  </si>
  <si>
    <t xml:space="preserve">Nguyễn Minh Anh</t>
  </si>
  <si>
    <t>SV20260001</t>
  </si>
  <si>
    <t xml:space="preserve">Trần Quốc Bảo</t>
  </si>
  <si>
    <t>SV20260002</t>
  </si>
  <si>
    <t>GD003</t>
  </si>
  <si>
    <t xml:space="preserve">Lê Thị Cẩm</t>
  </si>
  <si>
    <t>SV20260003</t>
  </si>
  <si>
    <t xml:space="preserve">Phạm Đức Dũng</t>
  </si>
  <si>
    <t>SV20260004</t>
  </si>
  <si>
    <t xml:space="preserve">Hoàng Thu Hà</t>
  </si>
  <si>
    <t>SV20260005</t>
  </si>
  <si>
    <t xml:space="preserve">Vũ Gia Hân</t>
  </si>
  <si>
    <t>SV20260006</t>
  </si>
  <si>
    <t xml:space="preserve">Đặng Tuấn Kiệt</t>
  </si>
  <si>
    <t>SV20260007</t>
  </si>
  <si>
    <t>GD008</t>
  </si>
  <si>
    <t xml:space="preserve">Bùi Ngọc Lan</t>
  </si>
  <si>
    <t>SV20260008</t>
  </si>
  <si>
    <t xml:space="preserve">GD009 </t>
  </si>
  <si>
    <t xml:space="preserve">Ngô Thanh Mai</t>
  </si>
  <si>
    <t>SV20260009</t>
  </si>
  <si>
    <t xml:space="preserve">Dương Hữu Nam</t>
  </si>
  <si>
    <t>SV20260010</t>
  </si>
  <si>
    <t>GD011</t>
  </si>
  <si>
    <t xml:space="preserve">Đỗ Phương Nhi</t>
  </si>
  <si>
    <t>SV20260011</t>
  </si>
  <si>
    <t xml:space="preserve">Lý Khánh Phúc</t>
  </si>
  <si>
    <t>SV20260012</t>
  </si>
  <si>
    <t xml:space="preserve">Phan Bảo Quân</t>
  </si>
  <si>
    <t>SV20260013</t>
  </si>
  <si>
    <t xml:space="preserve">Võ Thảo Quyên</t>
  </si>
  <si>
    <t>SV20260015</t>
  </si>
  <si>
    <t xml:space="preserve">Huỳnh Anh Sơn</t>
  </si>
  <si>
    <t>SV20260016</t>
  </si>
  <si>
    <t>GD017</t>
  </si>
  <si>
    <t xml:space="preserve">Trịnh Mỹ Tâm</t>
  </si>
  <si>
    <t>SV20260017</t>
  </si>
  <si>
    <t xml:space="preserve">Mai Công Thành</t>
  </si>
  <si>
    <t>SV20260018</t>
  </si>
  <si>
    <t xml:space="preserve">Tô Kim Uyên</t>
  </si>
  <si>
    <t>SV20260019</t>
  </si>
  <si>
    <t xml:space="preserve">Châu Minh Vũ</t>
  </si>
  <si>
    <t>SV20260020</t>
  </si>
  <si>
    <t>GD021</t>
  </si>
  <si>
    <t xml:space="preserve">Lâm Hải Yến</t>
  </si>
  <si>
    <t>SV20260021</t>
  </si>
  <si>
    <t xml:space="preserve">Đinh Quang Huy</t>
  </si>
  <si>
    <t>SV20260022</t>
  </si>
  <si>
    <t xml:space="preserve">Cao Thị Xuân</t>
  </si>
  <si>
    <t>SV20260023</t>
  </si>
  <si>
    <t xml:space="preserve">Hồ Đức Anh</t>
  </si>
  <si>
    <t>SV20260024</t>
  </si>
  <si>
    <t>GD025</t>
  </si>
  <si>
    <t xml:space="preserve">Kiều Bích Ngọc</t>
  </si>
  <si>
    <t>SV20260025</t>
  </si>
  <si>
    <t xml:space="preserve">Lương Gia Bảo</t>
  </si>
  <si>
    <t>SV20260026</t>
  </si>
  <si>
    <t xml:space="preserve">Tạ Thu Trang</t>
  </si>
  <si>
    <t>SV20260028</t>
  </si>
  <si>
    <t xml:space="preserve">Âu Hoàng Long</t>
  </si>
  <si>
    <t>SV20260029</t>
  </si>
  <si>
    <t xml:space="preserve">Quách Mai Linh</t>
  </si>
  <si>
    <t>SV20260030</t>
  </si>
  <si>
    <t>Thang</t>
  </si>
  <si>
    <t>DT_Nap_DienThoai</t>
  </si>
  <si>
    <t>DT_Nap_Vi</t>
  </si>
  <si>
    <t>DT_Thanh_Toan</t>
  </si>
  <si>
    <t>Phi_NganHang</t>
  </si>
  <si>
    <t>Chi_Hoan_Tien</t>
  </si>
  <si>
    <t>Tong_DoanhThu</t>
  </si>
  <si>
    <t>Lai_Rong</t>
  </si>
  <si>
    <t>Tang_So_Voi_Thang_Truoc</t>
  </si>
  <si>
    <t>T07/2026</t>
  </si>
  <si>
    <t>-</t>
  </si>
  <si>
    <t>T08/2026</t>
  </si>
  <si>
    <t>T09/2026</t>
  </si>
  <si>
    <t>T10/2026</t>
  </si>
  <si>
    <t xml:space="preserve">Đơn vị: triệu VND. Dữ liệu mẫu giả định. Lãi ròng = Tổng doanh thu - Phí ngân hàng - Chi hoàn tiền.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</si>
</sst>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6">
    <font>
      <sz val="11.000000"/>
      <color theme="1"/>
      <name val="Calibri"/>
    </font>
    <font>
      <sz val="10.000000"/>
      <name val="Arial"/>
    </font>
    <font>
      <b/>
      <sz val="11.000000"/>
      <color indexed="65"/>
      <name val="Arial"/>
    </font>
    <font>
      <sz val="11.000000"/>
      <name val="Arial"/>
    </font>
    <font>
      <b/>
      <sz val="11.000000"/>
      <color indexed="64"/>
      <name val="Arial"/>
    </font>
    <font>
      <i/>
      <sz val="11.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548235"/>
        <bgColor indexed="57"/>
      </patternFill>
    </fill>
    <fill>
      <patternFill patternType="solid">
        <fgColor rgb="FFE2EFDA"/>
        <bgColor indexed="26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2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center" vertical="center"/>
      <protection hidden="0" locked="1"/>
    </xf>
    <xf fontId="2" fillId="3" borderId="1" numFmtId="0" xfId="0" applyFont="1" applyFill="1" applyBorder="1" applyAlignment="1" applyProtection="0">
      <alignment horizontal="center" vertical="center"/>
      <protection hidden="0" locked="1"/>
    </xf>
    <xf fontId="3" fillId="0" borderId="1" numFmtId="0" xfId="0" applyFont="1" applyBorder="1" applyProtection="0">
      <protection hidden="0" locked="1"/>
    </xf>
    <xf fontId="3" fillId="0" borderId="1" numFmtId="164" xfId="0" applyNumberFormat="1" applyFont="1" applyBorder="1" applyProtection="0">
      <protection hidden="0" locked="1"/>
    </xf>
    <xf fontId="3" fillId="0" borderId="1" numFmtId="3" xfId="0" applyNumberFormat="1" applyFont="1" applyBorder="1" applyProtection="0">
      <protection hidden="0" locked="1"/>
    </xf>
    <xf fontId="3" fillId="4" borderId="1" numFmtId="0" xfId="0" applyFont="1" applyFill="1" applyBorder="1" applyProtection="0">
      <protection hidden="0" locked="1"/>
    </xf>
    <xf fontId="2" fillId="3" borderId="1" numFmtId="0" xfId="0" applyFont="1" applyFill="1" applyBorder="1" applyAlignment="1" applyProtection="0">
      <alignment horizontal="center"/>
      <protection hidden="0" locked="1"/>
    </xf>
    <xf fontId="4" fillId="5" borderId="1" numFmtId="0" xfId="0" applyFont="1" applyFill="1" applyBorder="1" applyAlignment="1" applyProtection="0">
      <alignment horizontal="center" vertical="center"/>
      <protection hidden="0" locked="1"/>
    </xf>
    <xf fontId="3" fillId="4" borderId="1" numFmtId="3" xfId="0" applyNumberFormat="1" applyFont="1" applyFill="1" applyBorder="1" applyAlignment="1" applyProtection="0">
      <alignment horizontal="right"/>
      <protection hidden="0" locked="1"/>
    </xf>
    <xf fontId="3" fillId="4" borderId="1" numFmtId="165" xfId="0" applyNumberFormat="1" applyFont="1" applyFill="1" applyBorder="1" applyAlignment="1" applyProtection="0">
      <alignment horizontal="right"/>
      <protection hidden="0" locked="1"/>
    </xf>
    <xf fontId="5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12"/>
    <col customWidth="1" min="2" max="2" style="0" width="13"/>
    <col customWidth="1" min="3" max="3" style="0" width="18"/>
    <col customWidth="1" min="4" max="4" style="0" width="16"/>
    <col customWidth="1" min="5" max="5" style="0" width="12"/>
    <col customWidth="1" min="6" max="6" style="0" width="10"/>
    <col customWidth="1" min="7" max="7" style="0" width="14"/>
    <col customWidth="1" min="8" max="8" style="0" width="20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">
      <c r="A2" s="3" t="s">
        <v>8</v>
      </c>
      <c r="B2" s="4">
        <v>46300</v>
      </c>
      <c r="C2" s="3" t="s">
        <v>9</v>
      </c>
      <c r="D2" s="3" t="s">
        <v>10</v>
      </c>
      <c r="E2" s="5">
        <v>100000</v>
      </c>
      <c r="F2" s="5">
        <v>1100</v>
      </c>
      <c r="G2" s="6" t="str">
        <f t="shared" ref="G2:G9" si="0">TRIM(A2)</f>
        <v>GD001</v>
      </c>
      <c r="H2" s="6" t="str">
        <f>IFERROR(VLOOKUP(G2,NguoiDung!$D$2:$E$29,2,FALSE()),"KHÔNG TÌM THẤY")</f>
        <v xml:space="preserve">Nguyễn Minh Anh</v>
      </c>
    </row>
    <row r="3" ht="15">
      <c r="A3" s="3" t="s">
        <v>11</v>
      </c>
      <c r="B3" s="4">
        <v>46302</v>
      </c>
      <c r="C3" s="3" t="s">
        <v>12</v>
      </c>
      <c r="D3" s="3" t="s">
        <v>13</v>
      </c>
      <c r="E3" s="5">
        <v>20000</v>
      </c>
      <c r="F3" s="5">
        <v>220</v>
      </c>
      <c r="G3" s="6" t="str">
        <f t="shared" si="0"/>
        <v>GD002</v>
      </c>
      <c r="H3" s="6" t="str">
        <f>IFERROR(VLOOKUP(G3,NguoiDung!$D$2:$E$29,2,FALSE()),"KHÔNG TÌM THẤY")</f>
        <v xml:space="preserve">Trần Quốc Bảo</v>
      </c>
    </row>
    <row r="4" ht="15">
      <c r="A4" s="3" t="s">
        <v>14</v>
      </c>
      <c r="B4" s="4">
        <v>46305</v>
      </c>
      <c r="C4" s="3" t="s">
        <v>15</v>
      </c>
      <c r="D4" s="3" t="s">
        <v>16</v>
      </c>
      <c r="E4" s="5">
        <v>120000</v>
      </c>
      <c r="F4" s="5">
        <v>1320</v>
      </c>
      <c r="G4" s="6" t="str">
        <f t="shared" si="0"/>
        <v>GD003</v>
      </c>
      <c r="H4" s="6" t="str">
        <f>IFERROR(VLOOKUP(G4,NguoiDung!$D$2:$E$29,2,FALSE()),"KHÔNG TÌM THẤY")</f>
        <v xml:space="preserve">Lê Thị Cẩm</v>
      </c>
    </row>
    <row r="5" ht="15">
      <c r="A5" s="3" t="s">
        <v>17</v>
      </c>
      <c r="B5" s="4">
        <v>46308</v>
      </c>
      <c r="C5" s="3" t="s">
        <v>18</v>
      </c>
      <c r="D5" s="3" t="s">
        <v>19</v>
      </c>
      <c r="E5" s="5">
        <v>50000</v>
      </c>
      <c r="F5" s="5">
        <v>550</v>
      </c>
      <c r="G5" s="6" t="str">
        <f t="shared" si="0"/>
        <v>GD004</v>
      </c>
      <c r="H5" s="6" t="str">
        <f>IFERROR(VLOOKUP(G5,NguoiDung!$D$2:$E$29,2,FALSE()),"KHÔNG TÌM THẤY")</f>
        <v xml:space="preserve">Phạm Đức Dũng</v>
      </c>
    </row>
    <row r="6" ht="15">
      <c r="A6" s="3" t="s">
        <v>20</v>
      </c>
      <c r="B6" s="4">
        <v>46311</v>
      </c>
      <c r="C6" s="3" t="s">
        <v>9</v>
      </c>
      <c r="D6" s="3" t="s">
        <v>10</v>
      </c>
      <c r="E6" s="5">
        <v>300000</v>
      </c>
      <c r="F6" s="5">
        <v>3300</v>
      </c>
      <c r="G6" s="6" t="str">
        <f t="shared" si="0"/>
        <v>GD005</v>
      </c>
      <c r="H6" s="6" t="str">
        <f>IFERROR(VLOOKUP(G6,NguoiDung!$D$2:$E$29,2,FALSE()),"KHÔNG TÌM THẤY")</f>
        <v xml:space="preserve">Hoàng Thu Hà</v>
      </c>
    </row>
    <row r="7" ht="15">
      <c r="A7" s="3" t="s">
        <v>21</v>
      </c>
      <c r="B7" s="4">
        <v>46314</v>
      </c>
      <c r="C7" s="3" t="s">
        <v>22</v>
      </c>
      <c r="D7" s="3" t="s">
        <v>23</v>
      </c>
      <c r="E7" s="5">
        <v>80000</v>
      </c>
      <c r="F7" s="5">
        <v>880</v>
      </c>
      <c r="G7" s="6" t="str">
        <f t="shared" si="0"/>
        <v>GD006</v>
      </c>
      <c r="H7" s="6" t="str">
        <f>IFERROR(VLOOKUP(G7,NguoiDung!$D$2:$E$29,2,FALSE()),"KHÔNG TÌM THẤY")</f>
        <v xml:space="preserve">Vũ Gia Hân</v>
      </c>
    </row>
    <row r="8" ht="15">
      <c r="A8" s="3" t="s">
        <v>24</v>
      </c>
      <c r="B8" s="4">
        <v>46317</v>
      </c>
      <c r="C8" s="3" t="s">
        <v>12</v>
      </c>
      <c r="D8" s="3" t="s">
        <v>13</v>
      </c>
      <c r="E8" s="5">
        <v>200000</v>
      </c>
      <c r="F8" s="5">
        <v>2200</v>
      </c>
      <c r="G8" s="6" t="str">
        <f t="shared" si="0"/>
        <v>GD007</v>
      </c>
      <c r="H8" s="6" t="str">
        <f>IFERROR(VLOOKUP(G8,NguoiDung!$D$2:$E$29,2,FALSE()),"KHÔNG TÌM THẤY")</f>
        <v xml:space="preserve">Đặng Tuấn Kiệt</v>
      </c>
    </row>
    <row r="9" ht="15">
      <c r="A9" s="3" t="s">
        <v>25</v>
      </c>
      <c r="B9" s="4">
        <v>46320</v>
      </c>
      <c r="C9" s="3" t="s">
        <v>15</v>
      </c>
      <c r="D9" s="3" t="s">
        <v>16</v>
      </c>
      <c r="E9" s="5">
        <v>150000</v>
      </c>
      <c r="F9" s="5">
        <v>1650</v>
      </c>
      <c r="G9" s="6" t="str">
        <f t="shared" si="0"/>
        <v>GD008</v>
      </c>
      <c r="H9" s="6" t="str">
        <f>IFERROR(VLOOKUP(G9,NguoiDung!$D$2:$E$29,2,FALSE()),"KHÔNG TÌM THẤY")</f>
        <v xml:space="preserve">Bùi Ngọc Lan</v>
      </c>
    </row>
    <row r="10" ht="15">
      <c r="A10" s="3" t="s">
        <v>26</v>
      </c>
      <c r="B10" s="4">
        <v>46323</v>
      </c>
      <c r="C10" s="3" t="s">
        <v>18</v>
      </c>
      <c r="D10" s="3" t="s">
        <v>19</v>
      </c>
      <c r="E10" s="5">
        <v>250000</v>
      </c>
      <c r="F10" s="5">
        <v>2750</v>
      </c>
      <c r="G10" s="6" t="str">
        <f t="shared" ref="G10:G31" si="1">TRIM(A10)</f>
        <v>GD009</v>
      </c>
      <c r="H10" s="6" t="str">
        <f>IFERROR(VLOOKUP(G10,NguoiDung!$D$2:$E$29,2,FALSE()),"KHÔNG TÌM THẤY")</f>
        <v xml:space="preserve">Ngô Thanh Mai</v>
      </c>
    </row>
    <row r="11" ht="15">
      <c r="A11" s="3" t="s">
        <v>27</v>
      </c>
      <c r="B11" s="4">
        <v>46298</v>
      </c>
      <c r="C11" s="3" t="s">
        <v>9</v>
      </c>
      <c r="D11" s="3" t="s">
        <v>10</v>
      </c>
      <c r="E11" s="5">
        <v>100000</v>
      </c>
      <c r="F11" s="5">
        <v>1100</v>
      </c>
      <c r="G11" s="6" t="str">
        <f t="shared" si="1"/>
        <v>GD010</v>
      </c>
      <c r="H11" s="6" t="str">
        <f>IFERROR(VLOOKUP(G11,NguoiDung!$D$2:$E$29,2,FALSE()),"KHÔNG TÌM THẤY")</f>
        <v xml:space="preserve">Dương Hữu Nam</v>
      </c>
    </row>
    <row r="12" ht="15">
      <c r="A12" s="3" t="s">
        <v>28</v>
      </c>
      <c r="B12" s="4">
        <v>46301</v>
      </c>
      <c r="C12" s="3" t="s">
        <v>22</v>
      </c>
      <c r="D12" s="3" t="s">
        <v>23</v>
      </c>
      <c r="E12" s="5">
        <v>500000</v>
      </c>
      <c r="F12" s="5">
        <v>5500</v>
      </c>
      <c r="G12" s="6" t="str">
        <f t="shared" si="1"/>
        <v>GD011</v>
      </c>
      <c r="H12" s="6" t="str">
        <f>IFERROR(VLOOKUP(G12,NguoiDung!$D$2:$E$29,2,FALSE()),"KHÔNG TÌM THẤY")</f>
        <v xml:space="preserve">Đỗ Phương Nhi</v>
      </c>
    </row>
    <row r="13" ht="15">
      <c r="A13" s="3" t="s">
        <v>29</v>
      </c>
      <c r="B13" s="4">
        <v>46304</v>
      </c>
      <c r="C13" s="3" t="s">
        <v>12</v>
      </c>
      <c r="D13" s="3" t="s">
        <v>13</v>
      </c>
      <c r="E13" s="5">
        <v>20000</v>
      </c>
      <c r="F13" s="5">
        <v>220</v>
      </c>
      <c r="G13" s="6" t="str">
        <f t="shared" si="1"/>
        <v>GD012</v>
      </c>
      <c r="H13" s="6" t="str">
        <f>IFERROR(VLOOKUP(G13,NguoiDung!$D$2:$E$29,2,FALSE()),"KHÔNG TÌM THẤY")</f>
        <v xml:space="preserve">Lý Khánh Phúc</v>
      </c>
    </row>
    <row r="14" ht="15">
      <c r="A14" s="3" t="s">
        <v>30</v>
      </c>
      <c r="B14" s="4">
        <v>46307</v>
      </c>
      <c r="C14" s="3" t="s">
        <v>15</v>
      </c>
      <c r="D14" s="3" t="s">
        <v>16</v>
      </c>
      <c r="E14" s="5">
        <v>120000</v>
      </c>
      <c r="F14" s="5">
        <v>1320</v>
      </c>
      <c r="G14" s="6" t="str">
        <f t="shared" si="1"/>
        <v>GD013</v>
      </c>
      <c r="H14" s="6" t="str">
        <f>IFERROR(VLOOKUP(G14,NguoiDung!$D$2:$E$29,2,FALSE()),"KHÔNG TÌM THẤY")</f>
        <v xml:space="preserve">Phan Bảo Quân</v>
      </c>
    </row>
    <row r="15" ht="15">
      <c r="A15" s="3" t="s">
        <v>31</v>
      </c>
      <c r="B15" s="4">
        <v>46310</v>
      </c>
      <c r="C15" s="3" t="s">
        <v>18</v>
      </c>
      <c r="D15" s="3" t="s">
        <v>19</v>
      </c>
      <c r="E15" s="5">
        <v>50000</v>
      </c>
      <c r="F15" s="5">
        <v>550</v>
      </c>
      <c r="G15" s="6" t="str">
        <f t="shared" si="1"/>
        <v>GD014</v>
      </c>
      <c r="H15" s="6" t="str">
        <f>IFERROR(VLOOKUP(G15,NguoiDung!$D$2:$E$29,2,FALSE()),"KHÔNG TÌM THẤY")</f>
        <v xml:space="preserve">KHÔNG TÌM THẤY</v>
      </c>
    </row>
    <row r="16" ht="15">
      <c r="A16" s="3" t="s">
        <v>32</v>
      </c>
      <c r="B16" s="4">
        <v>46313</v>
      </c>
      <c r="C16" s="3" t="s">
        <v>9</v>
      </c>
      <c r="D16" s="3" t="s">
        <v>10</v>
      </c>
      <c r="E16" s="5">
        <v>300000</v>
      </c>
      <c r="F16" s="5">
        <v>3300</v>
      </c>
      <c r="G16" s="6" t="str">
        <f t="shared" si="1"/>
        <v>GD015</v>
      </c>
      <c r="H16" s="6" t="str">
        <f>IFERROR(VLOOKUP(G16,NguoiDung!$D$2:$E$29,2,FALSE()),"KHÔNG TÌM THẤY")</f>
        <v xml:space="preserve">Võ Thảo Quyên</v>
      </c>
    </row>
    <row r="17" ht="15">
      <c r="A17" s="3" t="s">
        <v>33</v>
      </c>
      <c r="B17" s="4">
        <v>46316</v>
      </c>
      <c r="C17" s="3" t="s">
        <v>22</v>
      </c>
      <c r="D17" s="3" t="s">
        <v>23</v>
      </c>
      <c r="E17" s="5">
        <v>80000</v>
      </c>
      <c r="F17" s="5">
        <v>880</v>
      </c>
      <c r="G17" s="6" t="str">
        <f t="shared" si="1"/>
        <v>GD016</v>
      </c>
      <c r="H17" s="6" t="str">
        <f>IFERROR(VLOOKUP(G17,NguoiDung!$D$2:$E$29,2,FALSE()),"KHÔNG TÌM THẤY")</f>
        <v xml:space="preserve">Huỳnh Anh Sơn</v>
      </c>
    </row>
    <row r="18" ht="15">
      <c r="A18" s="3" t="s">
        <v>34</v>
      </c>
      <c r="B18" s="4">
        <v>46319</v>
      </c>
      <c r="C18" s="3" t="s">
        <v>12</v>
      </c>
      <c r="D18" s="3" t="s">
        <v>13</v>
      </c>
      <c r="E18" s="5">
        <v>200000</v>
      </c>
      <c r="F18" s="5">
        <v>2200</v>
      </c>
      <c r="G18" s="6" t="str">
        <f t="shared" si="1"/>
        <v>GD017</v>
      </c>
      <c r="H18" s="6" t="str">
        <f>IFERROR(VLOOKUP(G18,NguoiDung!$D$2:$E$29,2,FALSE()),"KHÔNG TÌM THẤY")</f>
        <v xml:space="preserve">Trịnh Mỹ Tâm</v>
      </c>
    </row>
    <row r="19" ht="15">
      <c r="A19" s="3" t="s">
        <v>35</v>
      </c>
      <c r="B19" s="4">
        <v>46322</v>
      </c>
      <c r="C19" s="3" t="s">
        <v>15</v>
      </c>
      <c r="D19" s="3" t="s">
        <v>16</v>
      </c>
      <c r="E19" s="5">
        <v>150000</v>
      </c>
      <c r="F19" s="5">
        <v>1650</v>
      </c>
      <c r="G19" s="6" t="str">
        <f t="shared" si="1"/>
        <v>GD018</v>
      </c>
      <c r="H19" s="6" t="str">
        <f>IFERROR(VLOOKUP(G19,NguoiDung!$D$2:$E$29,2,FALSE()),"KHÔNG TÌM THẤY")</f>
        <v xml:space="preserve">Mai Công Thành</v>
      </c>
    </row>
    <row r="20" ht="15">
      <c r="A20" s="3" t="s">
        <v>36</v>
      </c>
      <c r="B20" s="4">
        <v>46297</v>
      </c>
      <c r="C20" s="3" t="s">
        <v>18</v>
      </c>
      <c r="D20" s="3" t="s">
        <v>19</v>
      </c>
      <c r="E20" s="5">
        <v>250000</v>
      </c>
      <c r="F20" s="5">
        <v>2750</v>
      </c>
      <c r="G20" s="6" t="str">
        <f t="shared" si="1"/>
        <v>GD019</v>
      </c>
      <c r="H20" s="6" t="str">
        <f>IFERROR(VLOOKUP(G20,NguoiDung!$D$2:$E$29,2,FALSE()),"KHÔNG TÌM THẤY")</f>
        <v xml:space="preserve">Tô Kim Uyên</v>
      </c>
    </row>
    <row r="21" ht="15">
      <c r="A21" s="3" t="s">
        <v>37</v>
      </c>
      <c r="B21" s="4">
        <v>46300</v>
      </c>
      <c r="C21" s="3" t="s">
        <v>9</v>
      </c>
      <c r="D21" s="3" t="s">
        <v>10</v>
      </c>
      <c r="E21" s="5">
        <v>100000</v>
      </c>
      <c r="F21" s="5">
        <v>1100</v>
      </c>
      <c r="G21" s="6" t="str">
        <f t="shared" si="1"/>
        <v>GD020</v>
      </c>
      <c r="H21" s="6" t="str">
        <f>IFERROR(VLOOKUP(G21,NguoiDung!$D$2:$E$29,2,FALSE()),"KHÔNG TÌM THẤY")</f>
        <v xml:space="preserve">Châu Minh Vũ</v>
      </c>
    </row>
    <row r="22" ht="15">
      <c r="A22" s="3" t="s">
        <v>38</v>
      </c>
      <c r="B22" s="4">
        <v>46303</v>
      </c>
      <c r="C22" s="3" t="s">
        <v>22</v>
      </c>
      <c r="D22" s="3" t="s">
        <v>23</v>
      </c>
      <c r="E22" s="5">
        <v>500000</v>
      </c>
      <c r="F22" s="5">
        <v>5500</v>
      </c>
      <c r="G22" s="6" t="str">
        <f t="shared" si="1"/>
        <v>GD021</v>
      </c>
      <c r="H22" s="6" t="str">
        <f>IFERROR(VLOOKUP(G22,NguoiDung!$D$2:$E$29,2,FALSE()),"KHÔNG TÌM THẤY")</f>
        <v xml:space="preserve">Lâm Hải Yến</v>
      </c>
    </row>
    <row r="23" ht="15">
      <c r="A23" s="3" t="s">
        <v>39</v>
      </c>
      <c r="B23" s="4">
        <v>46306</v>
      </c>
      <c r="C23" s="3" t="s">
        <v>12</v>
      </c>
      <c r="D23" s="3" t="s">
        <v>13</v>
      </c>
      <c r="E23" s="5">
        <v>20000</v>
      </c>
      <c r="F23" s="5">
        <v>220</v>
      </c>
      <c r="G23" s="6" t="str">
        <f t="shared" si="1"/>
        <v>GD022</v>
      </c>
      <c r="H23" s="6" t="str">
        <f>IFERROR(VLOOKUP(G23,NguoiDung!$D$2:$E$29,2,FALSE()),"KHÔNG TÌM THẤY")</f>
        <v xml:space="preserve">Đinh Quang Huy</v>
      </c>
    </row>
    <row r="24" ht="15">
      <c r="A24" s="3" t="s">
        <v>40</v>
      </c>
      <c r="B24" s="4">
        <v>46309</v>
      </c>
      <c r="C24" s="3" t="s">
        <v>15</v>
      </c>
      <c r="D24" s="3" t="s">
        <v>16</v>
      </c>
      <c r="E24" s="5">
        <v>120000</v>
      </c>
      <c r="F24" s="5">
        <v>1320</v>
      </c>
      <c r="G24" s="6" t="str">
        <f t="shared" si="1"/>
        <v>GD023</v>
      </c>
      <c r="H24" s="6" t="str">
        <f>IFERROR(VLOOKUP(G24,NguoiDung!$D$2:$E$29,2,FALSE()),"KHÔNG TÌM THẤY")</f>
        <v xml:space="preserve">Cao Thị Xuân</v>
      </c>
    </row>
    <row r="25" ht="15">
      <c r="A25" s="3" t="s">
        <v>41</v>
      </c>
      <c r="B25" s="4">
        <v>46312</v>
      </c>
      <c r="C25" s="3" t="s">
        <v>18</v>
      </c>
      <c r="D25" s="3" t="s">
        <v>19</v>
      </c>
      <c r="E25" s="5">
        <v>50000</v>
      </c>
      <c r="F25" s="5">
        <v>550</v>
      </c>
      <c r="G25" s="6" t="str">
        <f t="shared" si="1"/>
        <v>GD024</v>
      </c>
      <c r="H25" s="6" t="str">
        <f>IFERROR(VLOOKUP(G25,NguoiDung!$D$2:$E$29,2,FALSE()),"KHÔNG TÌM THẤY")</f>
        <v xml:space="preserve">Hồ Đức Anh</v>
      </c>
    </row>
    <row r="26" ht="15">
      <c r="A26" s="3" t="s">
        <v>42</v>
      </c>
      <c r="B26" s="4">
        <v>46315</v>
      </c>
      <c r="C26" s="3" t="s">
        <v>9</v>
      </c>
      <c r="D26" s="3" t="s">
        <v>10</v>
      </c>
      <c r="E26" s="5">
        <v>300000</v>
      </c>
      <c r="F26" s="5">
        <v>3300</v>
      </c>
      <c r="G26" s="6" t="str">
        <f t="shared" si="1"/>
        <v>GD025</v>
      </c>
      <c r="H26" s="6" t="str">
        <f>IFERROR(VLOOKUP(G26,NguoiDung!$D$2:$E$29,2,FALSE()),"KHÔNG TÌM THẤY")</f>
        <v xml:space="preserve">Kiều Bích Ngọc</v>
      </c>
    </row>
    <row r="27" ht="15">
      <c r="A27" s="3" t="s">
        <v>43</v>
      </c>
      <c r="B27" s="4">
        <v>46318</v>
      </c>
      <c r="C27" s="3" t="s">
        <v>22</v>
      </c>
      <c r="D27" s="3" t="s">
        <v>23</v>
      </c>
      <c r="E27" s="5">
        <v>80000</v>
      </c>
      <c r="F27" s="5">
        <v>880</v>
      </c>
      <c r="G27" s="6" t="str">
        <f t="shared" si="1"/>
        <v>GD026</v>
      </c>
      <c r="H27" s="6" t="str">
        <f>IFERROR(VLOOKUP(G27,NguoiDung!$D$2:$E$29,2,FALSE()),"KHÔNG TÌM THẤY")</f>
        <v xml:space="preserve">Lương Gia Bảo</v>
      </c>
    </row>
    <row r="28" ht="15">
      <c r="A28" s="3" t="s">
        <v>44</v>
      </c>
      <c r="B28" s="4">
        <v>46321</v>
      </c>
      <c r="C28" s="3" t="s">
        <v>12</v>
      </c>
      <c r="D28" s="3" t="s">
        <v>13</v>
      </c>
      <c r="E28" s="5">
        <v>200000</v>
      </c>
      <c r="F28" s="5">
        <v>2200</v>
      </c>
      <c r="G28" s="6" t="str">
        <f t="shared" si="1"/>
        <v>GD027</v>
      </c>
      <c r="H28" s="6" t="str">
        <f>IFERROR(VLOOKUP(G28,NguoiDung!$D$2:$E$29,2,FALSE()),"KHÔNG TÌM THẤY")</f>
        <v xml:space="preserve">KHÔNG TÌM THẤY</v>
      </c>
    </row>
    <row r="29" ht="15">
      <c r="A29" s="3" t="s">
        <v>45</v>
      </c>
      <c r="B29" s="4">
        <v>46296</v>
      </c>
      <c r="C29" s="3" t="s">
        <v>15</v>
      </c>
      <c r="D29" s="3" t="s">
        <v>16</v>
      </c>
      <c r="E29" s="5">
        <v>150000</v>
      </c>
      <c r="F29" s="5">
        <v>1650</v>
      </c>
      <c r="G29" s="6" t="str">
        <f t="shared" si="1"/>
        <v>GD028</v>
      </c>
      <c r="H29" s="6" t="str">
        <f>IFERROR(VLOOKUP(G29,NguoiDung!$D$2:$E$29,2,FALSE()),"KHÔNG TÌM THẤY")</f>
        <v xml:space="preserve">Tạ Thu Trang</v>
      </c>
    </row>
    <row r="30" ht="15">
      <c r="A30" s="3" t="s">
        <v>46</v>
      </c>
      <c r="B30" s="4">
        <v>46299</v>
      </c>
      <c r="C30" s="3" t="s">
        <v>18</v>
      </c>
      <c r="D30" s="3" t="s">
        <v>19</v>
      </c>
      <c r="E30" s="5">
        <v>250000</v>
      </c>
      <c r="F30" s="5">
        <v>2750</v>
      </c>
      <c r="G30" s="6" t="str">
        <f t="shared" si="1"/>
        <v>GD029</v>
      </c>
      <c r="H30" s="6" t="str">
        <f>IFERROR(VLOOKUP(G30,NguoiDung!$D$2:$E$29,2,FALSE()),"KHÔNG TÌM THẤY")</f>
        <v xml:space="preserve">Âu Hoàng Long</v>
      </c>
    </row>
    <row r="31" ht="15">
      <c r="A31" s="3" t="s">
        <v>47</v>
      </c>
      <c r="B31" s="4">
        <v>46302</v>
      </c>
      <c r="C31" s="3" t="s">
        <v>9</v>
      </c>
      <c r="D31" s="3" t="s">
        <v>10</v>
      </c>
      <c r="E31" s="5">
        <v>100000</v>
      </c>
      <c r="F31" s="5">
        <v>1100</v>
      </c>
      <c r="G31" s="6" t="str">
        <f t="shared" si="1"/>
        <v>GD030</v>
      </c>
      <c r="H31" s="6" t="str">
        <f>IFERROR(VLOOKUP(G31,NguoiDung!$D$2:$E$29,2,FALSE()),"KHÔNG TÌM THẤY")</f>
        <v xml:space="preserve">Quách Mai Linh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2"/>
    <col customWidth="1" min="2" max="2" style="0" width="24"/>
    <col customWidth="1" min="3" max="4" style="0" width="14"/>
    <col customWidth="1" min="5" max="5" style="0" width="24"/>
  </cols>
  <sheetData>
    <row r="1" ht="15">
      <c r="A1" s="1" t="s">
        <v>0</v>
      </c>
      <c r="B1" s="1" t="s">
        <v>7</v>
      </c>
      <c r="C1" s="1" t="s">
        <v>48</v>
      </c>
      <c r="D1" s="7" t="s">
        <v>6</v>
      </c>
      <c r="E1" s="7" t="s">
        <v>49</v>
      </c>
    </row>
    <row r="2" ht="15">
      <c r="A2" s="3" t="s">
        <v>8</v>
      </c>
      <c r="B2" s="3" t="s">
        <v>50</v>
      </c>
      <c r="C2" s="3" t="s">
        <v>51</v>
      </c>
      <c r="D2" s="6" t="str">
        <f t="shared" ref="D2:D9" si="2">TRIM(A2)</f>
        <v>GD001</v>
      </c>
      <c r="E2" s="6" t="str">
        <f t="shared" ref="E2:E9" si="3">B2</f>
        <v xml:space="preserve">Nguyễn Minh Anh</v>
      </c>
    </row>
    <row r="3" ht="15">
      <c r="A3" s="3" t="s">
        <v>11</v>
      </c>
      <c r="B3" s="3" t="s">
        <v>52</v>
      </c>
      <c r="C3" s="3" t="s">
        <v>53</v>
      </c>
      <c r="D3" s="6" t="str">
        <f t="shared" si="2"/>
        <v>GD002</v>
      </c>
      <c r="E3" s="6" t="str">
        <f t="shared" si="3"/>
        <v xml:space="preserve">Trần Quốc Bảo</v>
      </c>
    </row>
    <row r="4" ht="15">
      <c r="A4" s="3" t="s">
        <v>54</v>
      </c>
      <c r="B4" s="3" t="s">
        <v>55</v>
      </c>
      <c r="C4" s="3" t="s">
        <v>56</v>
      </c>
      <c r="D4" s="6" t="str">
        <f t="shared" si="2"/>
        <v>GD003</v>
      </c>
      <c r="E4" s="6" t="str">
        <f t="shared" si="3"/>
        <v xml:space="preserve">Lê Thị Cẩm</v>
      </c>
    </row>
    <row r="5" ht="15">
      <c r="A5" s="3" t="s">
        <v>17</v>
      </c>
      <c r="B5" s="3" t="s">
        <v>57</v>
      </c>
      <c r="C5" s="3" t="s">
        <v>58</v>
      </c>
      <c r="D5" s="6" t="str">
        <f t="shared" si="2"/>
        <v>GD004</v>
      </c>
      <c r="E5" s="6" t="str">
        <f t="shared" si="3"/>
        <v xml:space="preserve">Phạm Đức Dũng</v>
      </c>
    </row>
    <row r="6" ht="15">
      <c r="A6" s="3" t="s">
        <v>20</v>
      </c>
      <c r="B6" s="3" t="s">
        <v>59</v>
      </c>
      <c r="C6" s="3" t="s">
        <v>60</v>
      </c>
      <c r="D6" s="6" t="str">
        <f t="shared" si="2"/>
        <v>GD005</v>
      </c>
      <c r="E6" s="6" t="str">
        <f t="shared" si="3"/>
        <v xml:space="preserve">Hoàng Thu Hà</v>
      </c>
    </row>
    <row r="7" ht="15">
      <c r="A7" s="3" t="s">
        <v>21</v>
      </c>
      <c r="B7" s="3" t="s">
        <v>61</v>
      </c>
      <c r="C7" s="3" t="s">
        <v>62</v>
      </c>
      <c r="D7" s="6" t="str">
        <f t="shared" si="2"/>
        <v>GD006</v>
      </c>
      <c r="E7" s="6" t="str">
        <f t="shared" si="3"/>
        <v xml:space="preserve">Vũ Gia Hân</v>
      </c>
    </row>
    <row r="8" ht="15">
      <c r="A8" s="3" t="s">
        <v>24</v>
      </c>
      <c r="B8" s="3" t="s">
        <v>63</v>
      </c>
      <c r="C8" s="3" t="s">
        <v>64</v>
      </c>
      <c r="D8" s="6" t="str">
        <f t="shared" si="2"/>
        <v>GD007</v>
      </c>
      <c r="E8" s="6" t="str">
        <f t="shared" si="3"/>
        <v xml:space="preserve">Đặng Tuấn Kiệt</v>
      </c>
    </row>
    <row r="9" ht="15">
      <c r="A9" s="3" t="s">
        <v>65</v>
      </c>
      <c r="B9" s="3" t="s">
        <v>66</v>
      </c>
      <c r="C9" s="3" t="s">
        <v>67</v>
      </c>
      <c r="D9" s="6" t="str">
        <f t="shared" si="2"/>
        <v>GD008</v>
      </c>
      <c r="E9" s="6" t="str">
        <f t="shared" si="3"/>
        <v xml:space="preserve">Bùi Ngọc Lan</v>
      </c>
    </row>
    <row r="10" ht="15">
      <c r="A10" s="3" t="s">
        <v>68</v>
      </c>
      <c r="B10" s="3" t="s">
        <v>69</v>
      </c>
      <c r="C10" s="3" t="s">
        <v>70</v>
      </c>
      <c r="D10" s="6" t="str">
        <f t="shared" ref="D10:D29" si="4">TRIM(A10)</f>
        <v>GD009</v>
      </c>
      <c r="E10" s="6" t="str">
        <f t="shared" ref="E10:E29" si="5">B10</f>
        <v xml:space="preserve">Ngô Thanh Mai</v>
      </c>
    </row>
    <row r="11" ht="15">
      <c r="A11" s="3" t="s">
        <v>27</v>
      </c>
      <c r="B11" s="3" t="s">
        <v>71</v>
      </c>
      <c r="C11" s="3" t="s">
        <v>72</v>
      </c>
      <c r="D11" s="6" t="str">
        <f t="shared" si="4"/>
        <v>GD010</v>
      </c>
      <c r="E11" s="6" t="str">
        <f t="shared" si="5"/>
        <v xml:space="preserve">Dương Hữu Nam</v>
      </c>
    </row>
    <row r="12" ht="15">
      <c r="A12" s="3" t="s">
        <v>73</v>
      </c>
      <c r="B12" s="3" t="s">
        <v>74</v>
      </c>
      <c r="C12" s="3" t="s">
        <v>75</v>
      </c>
      <c r="D12" s="6" t="str">
        <f t="shared" si="4"/>
        <v>GD011</v>
      </c>
      <c r="E12" s="6" t="str">
        <f t="shared" si="5"/>
        <v xml:space="preserve">Đỗ Phương Nhi</v>
      </c>
    </row>
    <row r="13" ht="15">
      <c r="A13" s="3" t="s">
        <v>29</v>
      </c>
      <c r="B13" s="3" t="s">
        <v>76</v>
      </c>
      <c r="C13" s="3" t="s">
        <v>77</v>
      </c>
      <c r="D13" s="6" t="str">
        <f t="shared" si="4"/>
        <v>GD012</v>
      </c>
      <c r="E13" s="6" t="str">
        <f t="shared" si="5"/>
        <v xml:space="preserve">Lý Khánh Phúc</v>
      </c>
    </row>
    <row r="14" ht="15">
      <c r="A14" s="3" t="s">
        <v>30</v>
      </c>
      <c r="B14" s="3" t="s">
        <v>78</v>
      </c>
      <c r="C14" s="3" t="s">
        <v>79</v>
      </c>
      <c r="D14" s="6" t="str">
        <f t="shared" si="4"/>
        <v>GD013</v>
      </c>
      <c r="E14" s="6" t="str">
        <f t="shared" si="5"/>
        <v xml:space="preserve">Phan Bảo Quân</v>
      </c>
    </row>
    <row r="15" ht="15">
      <c r="A15" s="3" t="s">
        <v>32</v>
      </c>
      <c r="B15" s="3" t="s">
        <v>80</v>
      </c>
      <c r="C15" s="3" t="s">
        <v>81</v>
      </c>
      <c r="D15" s="6" t="str">
        <f t="shared" si="4"/>
        <v>GD015</v>
      </c>
      <c r="E15" s="6" t="str">
        <f t="shared" si="5"/>
        <v xml:space="preserve">Võ Thảo Quyên</v>
      </c>
    </row>
    <row r="16" ht="15">
      <c r="A16" s="3" t="s">
        <v>33</v>
      </c>
      <c r="B16" s="3" t="s">
        <v>82</v>
      </c>
      <c r="C16" s="3" t="s">
        <v>83</v>
      </c>
      <c r="D16" s="6" t="str">
        <f t="shared" si="4"/>
        <v>GD016</v>
      </c>
      <c r="E16" s="6" t="str">
        <f t="shared" si="5"/>
        <v xml:space="preserve">Huỳnh Anh Sơn</v>
      </c>
    </row>
    <row r="17" ht="15">
      <c r="A17" s="3" t="s">
        <v>84</v>
      </c>
      <c r="B17" s="3" t="s">
        <v>85</v>
      </c>
      <c r="C17" s="3" t="s">
        <v>86</v>
      </c>
      <c r="D17" s="6" t="str">
        <f t="shared" si="4"/>
        <v>GD017</v>
      </c>
      <c r="E17" s="6" t="str">
        <f t="shared" si="5"/>
        <v xml:space="preserve">Trịnh Mỹ Tâm</v>
      </c>
    </row>
    <row r="18" ht="15">
      <c r="A18" s="3" t="s">
        <v>35</v>
      </c>
      <c r="B18" s="3" t="s">
        <v>87</v>
      </c>
      <c r="C18" s="3" t="s">
        <v>88</v>
      </c>
      <c r="D18" s="6" t="str">
        <f t="shared" si="4"/>
        <v>GD018</v>
      </c>
      <c r="E18" s="6" t="str">
        <f t="shared" si="5"/>
        <v xml:space="preserve">Mai Công Thành</v>
      </c>
    </row>
    <row r="19" ht="15">
      <c r="A19" s="3" t="s">
        <v>36</v>
      </c>
      <c r="B19" s="3" t="s">
        <v>89</v>
      </c>
      <c r="C19" s="3" t="s">
        <v>90</v>
      </c>
      <c r="D19" s="6" t="str">
        <f t="shared" si="4"/>
        <v>GD019</v>
      </c>
      <c r="E19" s="6" t="str">
        <f t="shared" si="5"/>
        <v xml:space="preserve">Tô Kim Uyên</v>
      </c>
    </row>
    <row r="20" ht="15">
      <c r="A20" s="3" t="s">
        <v>37</v>
      </c>
      <c r="B20" s="3" t="s">
        <v>91</v>
      </c>
      <c r="C20" s="3" t="s">
        <v>92</v>
      </c>
      <c r="D20" s="6" t="str">
        <f t="shared" si="4"/>
        <v>GD020</v>
      </c>
      <c r="E20" s="6" t="str">
        <f t="shared" si="5"/>
        <v xml:space="preserve">Châu Minh Vũ</v>
      </c>
    </row>
    <row r="21" ht="15">
      <c r="A21" s="3" t="s">
        <v>93</v>
      </c>
      <c r="B21" s="3" t="s">
        <v>94</v>
      </c>
      <c r="C21" s="3" t="s">
        <v>95</v>
      </c>
      <c r="D21" s="6" t="str">
        <f t="shared" si="4"/>
        <v>GD021</v>
      </c>
      <c r="E21" s="6" t="str">
        <f t="shared" si="5"/>
        <v xml:space="preserve">Lâm Hải Yến</v>
      </c>
    </row>
    <row r="22" ht="15">
      <c r="A22" s="3" t="s">
        <v>39</v>
      </c>
      <c r="B22" s="3" t="s">
        <v>96</v>
      </c>
      <c r="C22" s="3" t="s">
        <v>97</v>
      </c>
      <c r="D22" s="6" t="str">
        <f t="shared" si="4"/>
        <v>GD022</v>
      </c>
      <c r="E22" s="6" t="str">
        <f t="shared" si="5"/>
        <v xml:space="preserve">Đinh Quang Huy</v>
      </c>
    </row>
    <row r="23" ht="15">
      <c r="A23" s="3" t="s">
        <v>40</v>
      </c>
      <c r="B23" s="3" t="s">
        <v>98</v>
      </c>
      <c r="C23" s="3" t="s">
        <v>99</v>
      </c>
      <c r="D23" s="6" t="str">
        <f t="shared" si="4"/>
        <v>GD023</v>
      </c>
      <c r="E23" s="6" t="str">
        <f t="shared" si="5"/>
        <v xml:space="preserve">Cao Thị Xuân</v>
      </c>
    </row>
    <row r="24" ht="15">
      <c r="A24" s="3" t="s">
        <v>41</v>
      </c>
      <c r="B24" s="3" t="s">
        <v>100</v>
      </c>
      <c r="C24" s="3" t="s">
        <v>101</v>
      </c>
      <c r="D24" s="6" t="str">
        <f t="shared" si="4"/>
        <v>GD024</v>
      </c>
      <c r="E24" s="6" t="str">
        <f t="shared" si="5"/>
        <v xml:space="preserve">Hồ Đức Anh</v>
      </c>
    </row>
    <row r="25" ht="15">
      <c r="A25" s="3" t="s">
        <v>102</v>
      </c>
      <c r="B25" s="3" t="s">
        <v>103</v>
      </c>
      <c r="C25" s="3" t="s">
        <v>104</v>
      </c>
      <c r="D25" s="6" t="str">
        <f t="shared" si="4"/>
        <v>GD025</v>
      </c>
      <c r="E25" s="6" t="str">
        <f t="shared" si="5"/>
        <v xml:space="preserve">Kiều Bích Ngọc</v>
      </c>
    </row>
    <row r="26" ht="15">
      <c r="A26" s="3" t="s">
        <v>43</v>
      </c>
      <c r="B26" s="3" t="s">
        <v>105</v>
      </c>
      <c r="C26" s="3" t="s">
        <v>106</v>
      </c>
      <c r="D26" s="6" t="str">
        <f t="shared" si="4"/>
        <v>GD026</v>
      </c>
      <c r="E26" s="6" t="str">
        <f t="shared" si="5"/>
        <v xml:space="preserve">Lương Gia Bảo</v>
      </c>
    </row>
    <row r="27" ht="15">
      <c r="A27" s="3" t="s">
        <v>45</v>
      </c>
      <c r="B27" s="3" t="s">
        <v>107</v>
      </c>
      <c r="C27" s="3" t="s">
        <v>108</v>
      </c>
      <c r="D27" s="6" t="str">
        <f t="shared" si="4"/>
        <v>GD028</v>
      </c>
      <c r="E27" s="6" t="str">
        <f t="shared" si="5"/>
        <v xml:space="preserve">Tạ Thu Trang</v>
      </c>
    </row>
    <row r="28" ht="15">
      <c r="A28" s="3" t="s">
        <v>46</v>
      </c>
      <c r="B28" s="3" t="s">
        <v>109</v>
      </c>
      <c r="C28" s="3" t="s">
        <v>110</v>
      </c>
      <c r="D28" s="6" t="str">
        <f t="shared" si="4"/>
        <v>GD029</v>
      </c>
      <c r="E28" s="6" t="str">
        <f t="shared" si="5"/>
        <v xml:space="preserve">Âu Hoàng Long</v>
      </c>
    </row>
    <row r="29" ht="15">
      <c r="A29" s="3" t="s">
        <v>47</v>
      </c>
      <c r="B29" s="3" t="s">
        <v>111</v>
      </c>
      <c r="C29" s="3" t="s">
        <v>112</v>
      </c>
      <c r="D29" s="6" t="str">
        <f t="shared" si="4"/>
        <v>GD030</v>
      </c>
      <c r="E29" s="6" t="str">
        <f t="shared" si="5"/>
        <v xml:space="preserve">Quách Mai Linh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11"/>
    <col customWidth="1" min="2" max="2" style="0" width="18"/>
    <col customWidth="1" min="3" max="3" style="0" width="12"/>
    <col customWidth="1" min="4" max="4" style="0" width="15"/>
    <col customWidth="1" min="5" max="5" style="0" width="14"/>
    <col customWidth="1" min="6" max="7" style="0" width="15"/>
    <col customWidth="1" min="8" max="8" style="0" width="11"/>
    <col customWidth="1" min="9" max="9" style="0" width="24"/>
  </cols>
  <sheetData>
    <row r="1" ht="1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8" t="s">
        <v>119</v>
      </c>
      <c r="H1" s="8" t="s">
        <v>120</v>
      </c>
      <c r="I1" s="8" t="s">
        <v>121</v>
      </c>
    </row>
    <row r="2" ht="15">
      <c r="A2" s="3" t="s">
        <v>122</v>
      </c>
      <c r="B2" s="3">
        <v>120</v>
      </c>
      <c r="C2" s="3">
        <v>80</v>
      </c>
      <c r="D2" s="3">
        <v>60</v>
      </c>
      <c r="E2" s="3">
        <v>45</v>
      </c>
      <c r="F2" s="3">
        <v>12</v>
      </c>
      <c r="G2" s="9">
        <f t="shared" ref="G2:G5" si="6">B2+C2+D2</f>
        <v>260</v>
      </c>
      <c r="H2" s="9">
        <f t="shared" ref="H2:H5" si="7">G2-E2-F2</f>
        <v>203</v>
      </c>
      <c r="I2" s="10" t="s">
        <v>123</v>
      </c>
    </row>
    <row r="3" ht="15">
      <c r="A3" s="3" t="s">
        <v>124</v>
      </c>
      <c r="B3" s="3">
        <v>130</v>
      </c>
      <c r="C3" s="3">
        <v>85</v>
      </c>
      <c r="D3" s="3">
        <v>70</v>
      </c>
      <c r="E3" s="3">
        <v>48</v>
      </c>
      <c r="F3" s="3">
        <v>15</v>
      </c>
      <c r="G3" s="9">
        <f t="shared" si="6"/>
        <v>285</v>
      </c>
      <c r="H3" s="9">
        <f t="shared" si="7"/>
        <v>222</v>
      </c>
      <c r="I3" s="10">
        <f t="shared" ref="I3:I5" si="8">G3/G2-1</f>
        <v>9.61538461538463e-002</v>
      </c>
    </row>
    <row r="4" ht="15">
      <c r="A4" s="3" t="s">
        <v>125</v>
      </c>
      <c r="B4" s="3">
        <v>140</v>
      </c>
      <c r="C4" s="3">
        <v>90</v>
      </c>
      <c r="D4" s="3">
        <v>75</v>
      </c>
      <c r="E4" s="3">
        <v>50</v>
      </c>
      <c r="F4" s="3">
        <v>14</v>
      </c>
      <c r="G4" s="9">
        <f t="shared" si="6"/>
        <v>305</v>
      </c>
      <c r="H4" s="9">
        <f t="shared" si="7"/>
        <v>241</v>
      </c>
      <c r="I4" s="10">
        <f t="shared" si="8"/>
        <v>7.01754385964912e-002</v>
      </c>
    </row>
    <row r="5" ht="15">
      <c r="A5" s="3" t="s">
        <v>126</v>
      </c>
      <c r="B5" s="3">
        <v>175</v>
      </c>
      <c r="C5" s="3">
        <v>100</v>
      </c>
      <c r="D5" s="3">
        <v>90</v>
      </c>
      <c r="E5" s="3">
        <v>58</v>
      </c>
      <c r="F5" s="3">
        <v>18</v>
      </c>
      <c r="G5" s="9">
        <f t="shared" si="6"/>
        <v>365</v>
      </c>
      <c r="H5" s="9">
        <f t="shared" si="7"/>
        <v>289</v>
      </c>
      <c r="I5" s="10">
        <f t="shared" si="8"/>
        <v>0.19672131147541</v>
      </c>
    </row>
    <row r="7" ht="15">
      <c r="A7" s="11" t="s">
        <v>127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2026-10-26T08:26:07Z</dcterms:created>
  <dcterms:modified xsi:type="dcterms:W3CDTF">2026-10-26T14:25:13Z</dcterms:modified>
</cp:coreProperties>
</file>